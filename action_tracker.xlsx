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Instructions" sheetId="2" state="visible" r:id="rId4"/>
  </sheets>
  <definedNames>
    <definedName function="false" hidden="true" localSheetId="0" name="_xlnm._FilterDatabase" vbProcedure="false">Tracker!$A$1:$N$22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<sst xmlns="http://schemas.openxmlformats.org/spreadsheetml/2006/main" count="177" uniqueCount="103">
  <si>
    <t xml:space="preserve">ID</t>
  </si>
  <si>
    <t xml:space="preserve">Initiative</t>
  </si>
  <si>
    <t xml:space="preserve">Action Item</t>
  </si>
  <si>
    <t xml:space="preserve">Owner</t>
  </si>
  <si>
    <t xml:space="preserve">Function</t>
  </si>
  <si>
    <t xml:space="preserve">Priority</t>
  </si>
  <si>
    <t xml:space="preserve">Status</t>
  </si>
  <si>
    <t xml:space="preserve">Start Date</t>
  </si>
  <si>
    <t xml:space="preserve">Due Date</t>
  </si>
  <si>
    <t xml:space="preserve">% Complete</t>
  </si>
  <si>
    <t xml:space="preserve">Last Update</t>
  </si>
  <si>
    <t xml:space="preserve">Remarks</t>
  </si>
  <si>
    <t xml:space="preserve">Days to Due</t>
  </si>
  <si>
    <t xml:space="preserve">RAG</t>
  </si>
  <si>
    <t xml:space="preserve">A-001</t>
  </si>
  <si>
    <t xml:space="preserve">Client Onboarding Digitisation</t>
  </si>
  <si>
    <t xml:space="preserve">Finalise process map for e-onboarding</t>
  </si>
  <si>
    <t xml:space="preserve">Aarav Mehta</t>
  </si>
  <si>
    <t xml:space="preserve">Operations</t>
  </si>
  <si>
    <t xml:space="preserve">High</t>
  </si>
  <si>
    <t xml:space="preserve">Completed</t>
  </si>
  <si>
    <t xml:space="preserve">A-002</t>
  </si>
  <si>
    <t xml:space="preserve">Sign off UAT test scripts</t>
  </si>
  <si>
    <t xml:space="preserve">Neha Iyer</t>
  </si>
  <si>
    <t xml:space="preserve">Technology</t>
  </si>
  <si>
    <t xml:space="preserve">In Progress</t>
  </si>
  <si>
    <t xml:space="preserve">Two test cases pending</t>
  </si>
  <si>
    <t xml:space="preserve">A-003</t>
  </si>
  <si>
    <t xml:space="preserve">Compliance review of digital consent flow</t>
  </si>
  <si>
    <t xml:space="preserve">Rohan Das</t>
  </si>
  <si>
    <t xml:space="preserve">Compliance</t>
  </si>
  <si>
    <t xml:space="preserve">Blocked</t>
  </si>
  <si>
    <t xml:space="preserve">Awaiting legal opinion</t>
  </si>
  <si>
    <t xml:space="preserve">A-004</t>
  </si>
  <si>
    <t xml:space="preserve">Regulatory Reporting Automation</t>
  </si>
  <si>
    <t xml:space="preserve">Reconcile data fields to regulatory template</t>
  </si>
  <si>
    <t xml:space="preserve">Priya Nair</t>
  </si>
  <si>
    <t xml:space="preserve">Finance</t>
  </si>
  <si>
    <t xml:space="preserve">A-005</t>
  </si>
  <si>
    <t xml:space="preserve">Automate monthly return generation</t>
  </si>
  <si>
    <t xml:space="preserve">Kunal Shah</t>
  </si>
  <si>
    <t xml:space="preserve">Medium</t>
  </si>
  <si>
    <t xml:space="preserve">A-006</t>
  </si>
  <si>
    <t xml:space="preserve">Document control framework for reports</t>
  </si>
  <si>
    <t xml:space="preserve">Sana Qureshi</t>
  </si>
  <si>
    <t xml:space="preserve">Risk</t>
  </si>
  <si>
    <t xml:space="preserve">Not Started</t>
  </si>
  <si>
    <t xml:space="preserve">A-007</t>
  </si>
  <si>
    <t xml:space="preserve">Cost Optimisation FY27</t>
  </si>
  <si>
    <t xml:space="preserve">Baseline cost per transaction by product</t>
  </si>
  <si>
    <t xml:space="preserve">Meera Pillai</t>
  </si>
  <si>
    <t xml:space="preserve">A-008</t>
  </si>
  <si>
    <t xml:space="preserve">Identify vendor contract savings</t>
  </si>
  <si>
    <t xml:space="preserve">Vikram Rao</t>
  </si>
  <si>
    <t xml:space="preserve">Two contracts still under review</t>
  </si>
  <si>
    <t xml:space="preserve">A-009</t>
  </si>
  <si>
    <t xml:space="preserve">Present savings options to steering committee</t>
  </si>
  <si>
    <t xml:space="preserve">Business</t>
  </si>
  <si>
    <t xml:space="preserve">A-010</t>
  </si>
  <si>
    <t xml:space="preserve">Vendor Consolidation</t>
  </si>
  <si>
    <t xml:space="preserve">Shortlist vendors via RFP scoring</t>
  </si>
  <si>
    <t xml:space="preserve">A-011</t>
  </si>
  <si>
    <t xml:space="preserve">Security assessment of shortlisted vendors</t>
  </si>
  <si>
    <t xml:space="preserve">Ishaan Verma</t>
  </si>
  <si>
    <t xml:space="preserve">Infrastructure</t>
  </si>
  <si>
    <t xml:space="preserve">Vendor has not shared SOC 2 report</t>
  </si>
  <si>
    <t xml:space="preserve">A-012</t>
  </si>
  <si>
    <t xml:space="preserve">Audit Findings Remediation</t>
  </si>
  <si>
    <t xml:space="preserve">Close access-review findings</t>
  </si>
  <si>
    <t xml:space="preserve">Evidence for 3 findings outstanding</t>
  </si>
  <si>
    <t xml:space="preserve">A-013</t>
  </si>
  <si>
    <t xml:space="preserve">Update policy documents</t>
  </si>
  <si>
    <t xml:space="preserve">A-014</t>
  </si>
  <si>
    <t xml:space="preserve">Compile evidence pack for internal audit</t>
  </si>
  <si>
    <t xml:space="preserve">A-015</t>
  </si>
  <si>
    <t xml:space="preserve">KYC Refresh Programme</t>
  </si>
  <si>
    <t xml:space="preserve">Prioritise high-risk client segment list</t>
  </si>
  <si>
    <t xml:space="preserve">A-016</t>
  </si>
  <si>
    <t xml:space="preserve">Set up outreach tracker for client documents</t>
  </si>
  <si>
    <t xml:space="preserve">Kavya Reddy</t>
  </si>
  <si>
    <t xml:space="preserve">A-017</t>
  </si>
  <si>
    <t xml:space="preserve">Define escalation protocol for non-responsive clients</t>
  </si>
  <si>
    <t xml:space="preserve">Low</t>
  </si>
  <si>
    <t xml:space="preserve">A-018</t>
  </si>
  <si>
    <t xml:space="preserve">Productivity Dashboard Rollout</t>
  </si>
  <si>
    <t xml:space="preserve">Define KPI dictionary</t>
  </si>
  <si>
    <t xml:space="preserve">A-019</t>
  </si>
  <si>
    <t xml:space="preserve">Build prototype dashboard</t>
  </si>
  <si>
    <t xml:space="preserve">A-020</t>
  </si>
  <si>
    <t xml:space="preserve">Run stakeholder training sessions</t>
  </si>
  <si>
    <t xml:space="preserve">A-021</t>
  </si>
  <si>
    <t xml:space="preserve">Automate reminder emails for open actions</t>
  </si>
  <si>
    <t xml:space="preserve">How to use this tracker</t>
  </si>
  <si>
    <t xml:space="preserve">1. The rows on the Tracker sheet are SAMPLE data. Replace them with your own actions.</t>
  </si>
  <si>
    <t xml:space="preserve">2. Type only in columns A to L (blue text). Columns M and N are formulas - do not overwrite.</t>
  </si>
  <si>
    <t xml:space="preserve">3. Status must be one of: Not Started, In Progress, Blocked, Completed (dropdown provided).</t>
  </si>
  <si>
    <t xml:space="preserve">4. % Complete is entered as a percentage (e.g. 60%). Dates use dd-mmm-yyyy.</t>
  </si>
  <si>
    <t xml:space="preserve">5. Run:  python report.py --input data/action_tracker.xlsx   to generate the weekly deck and follow-up emails.</t>
  </si>
  <si>
    <t xml:space="preserve">RAG rules (same logic in Excel and in report.py)</t>
  </si>
  <si>
    <t xml:space="preserve">Done  : Status = Completed</t>
  </si>
  <si>
    <t xml:space="preserve">Red   : not completed and Due Date is before today</t>
  </si>
  <si>
    <t xml:space="preserve">Amber : Status = Blocked, OR due within 7 days with under 50% complete</t>
  </si>
  <si>
    <t xml:space="preserve">Green : everything else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</si>
</sst>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%"/>
    <numFmt numFmtId="167" formatCode="0;\-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7EAEE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1E6B3A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475467"/>
      </font>
      <fill>
        <patternFill>
          <bgColor rgb="FFE7EA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FF0C2"/>
      <rgbColor rgb="FFE7EA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B2545"/>
      <rgbColor rgb="FF339966"/>
      <rgbColor rgb="FF003300"/>
      <rgbColor rgb="FF333300"/>
      <rgbColor rgb="FF9C1C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4" min="14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 t="n">
        <v>46256</v>
      </c>
      <c r="I2" s="4" t="n">
        <v>46286</v>
      </c>
      <c r="J2" s="5" t="n">
        <v>1</v>
      </c>
      <c r="K2" s="4" t="n">
        <v>46286</v>
      </c>
      <c r="L2" s="3"/>
      <c r="M2" s="6" t="str">
        <f aca="true">IF(G2="Completed","",I2-TODAY())</f>
        <v/>
      </c>
      <c r="N2" s="7" t="str">
        <f aca="true">IF(G2="Completed","Done",IF(I2&lt;TODAY(),"Red",IF(OR(G2="Blocked",AND(I2-TODAY()&lt;=7,J2&lt;0.5)),"Amber","Green")))</f>
        <v>Done</v>
      </c>
    </row>
    <row r="3" customFormat="false" ht="15" hidden="false" customHeight="false" outlineLevel="0" collapsed="false">
      <c r="A3" s="2" t="s">
        <v>21</v>
      </c>
      <c r="B3" s="3" t="s">
        <v>15</v>
      </c>
      <c r="C3" s="3" t="s">
        <v>22</v>
      </c>
      <c r="D3" s="2" t="s">
        <v>23</v>
      </c>
      <c r="E3" s="2" t="s">
        <v>24</v>
      </c>
      <c r="F3" s="2" t="s">
        <v>19</v>
      </c>
      <c r="G3" s="2" t="s">
        <v>25</v>
      </c>
      <c r="H3" s="4" t="n">
        <v>46276</v>
      </c>
      <c r="I3" s="4" t="n">
        <v>46292</v>
      </c>
      <c r="J3" s="5" t="n">
        <v>0.7</v>
      </c>
      <c r="K3" s="4" t="n">
        <v>46294</v>
      </c>
      <c r="L3" s="3" t="s">
        <v>26</v>
      </c>
      <c r="M3" s="6" t="n">
        <f aca="true">IF(G3="Completed","",I3-TODAY())</f>
        <v>-4</v>
      </c>
      <c r="N3" s="7" t="str">
        <f aca="true">IF(G3="Completed","Done",IF(I3&lt;TODAY(),"Red",IF(OR(G3="Blocked",AND(I3-TODAY()&lt;=7,J3&lt;0.5)),"Amber","Green")))</f>
        <v>Red</v>
      </c>
    </row>
    <row r="4" customFormat="false" ht="15" hidden="false" customHeight="false" outlineLevel="0" collapsed="false">
      <c r="A4" s="2" t="s">
        <v>27</v>
      </c>
      <c r="B4" s="3" t="s">
        <v>15</v>
      </c>
      <c r="C4" s="3" t="s">
        <v>28</v>
      </c>
      <c r="D4" s="2" t="s">
        <v>29</v>
      </c>
      <c r="E4" s="2" t="s">
        <v>30</v>
      </c>
      <c r="F4" s="2" t="s">
        <v>19</v>
      </c>
      <c r="G4" s="2" t="s">
        <v>31</v>
      </c>
      <c r="H4" s="4" t="n">
        <v>46271</v>
      </c>
      <c r="I4" s="4" t="n">
        <v>46290</v>
      </c>
      <c r="J4" s="5" t="n">
        <v>0.4</v>
      </c>
      <c r="K4" s="4" t="n">
        <v>46287</v>
      </c>
      <c r="L4" s="3" t="s">
        <v>32</v>
      </c>
      <c r="M4" s="6" t="n">
        <f aca="true">IF(G4="Completed","",I4-TODAY())</f>
        <v>-6</v>
      </c>
      <c r="N4" s="7" t="str">
        <f aca="true">IF(G4="Completed","Done",IF(I4&lt;TODAY(),"Red",IF(OR(G4="Blocked",AND(I4-TODAY()&lt;=7,J4&lt;0.5)),"Amber","Green")))</f>
        <v>Red</v>
      </c>
    </row>
    <row r="5" customFormat="false" ht="15" hidden="false" customHeight="false" outlineLevel="0" collapsed="false">
      <c r="A5" s="2" t="s">
        <v>33</v>
      </c>
      <c r="B5" s="3" t="s">
        <v>34</v>
      </c>
      <c r="C5" s="3" t="s">
        <v>35</v>
      </c>
      <c r="D5" s="2" t="s">
        <v>36</v>
      </c>
      <c r="E5" s="2" t="s">
        <v>37</v>
      </c>
      <c r="F5" s="2" t="s">
        <v>19</v>
      </c>
      <c r="G5" s="2" t="s">
        <v>25</v>
      </c>
      <c r="H5" s="4" t="n">
        <v>46281</v>
      </c>
      <c r="I5" s="4" t="n">
        <v>46299</v>
      </c>
      <c r="J5" s="5" t="n">
        <v>0.6</v>
      </c>
      <c r="K5" s="4" t="n">
        <v>46295</v>
      </c>
      <c r="L5" s="3"/>
      <c r="M5" s="6" t="n">
        <f aca="true">IF(G5="Completed","",I5-TODAY())</f>
        <v>3</v>
      </c>
      <c r="N5" s="7" t="str">
        <f aca="true">IF(G5="Completed","Done",IF(I5&lt;TODAY(),"Red",IF(OR(G5="Blocked",AND(I5-TODAY()&lt;=7,J5&lt;0.5)),"Amber","Green")))</f>
        <v>Green</v>
      </c>
    </row>
    <row r="6" customFormat="false" ht="15" hidden="false" customHeight="false" outlineLevel="0" collapsed="false">
      <c r="A6" s="2" t="s">
        <v>38</v>
      </c>
      <c r="B6" s="3" t="s">
        <v>34</v>
      </c>
      <c r="C6" s="3" t="s">
        <v>39</v>
      </c>
      <c r="D6" s="2" t="s">
        <v>40</v>
      </c>
      <c r="E6" s="2" t="s">
        <v>24</v>
      </c>
      <c r="F6" s="2" t="s">
        <v>41</v>
      </c>
      <c r="G6" s="2" t="s">
        <v>25</v>
      </c>
      <c r="H6" s="4" t="n">
        <v>46286</v>
      </c>
      <c r="I6" s="4" t="n">
        <v>46308</v>
      </c>
      <c r="J6" s="5" t="n">
        <v>0.3</v>
      </c>
      <c r="K6" s="4" t="n">
        <v>46293</v>
      </c>
      <c r="L6" s="3"/>
      <c r="M6" s="6" t="n">
        <f aca="true">IF(G6="Completed","",I6-TODAY())</f>
        <v>12</v>
      </c>
      <c r="N6" s="7" t="str">
        <f aca="true">IF(G6="Completed","Done",IF(I6&lt;TODAY(),"Red",IF(OR(G6="Blocked",AND(I6-TODAY()&lt;=7,J6&lt;0.5)),"Amber","Green")))</f>
        <v>Green</v>
      </c>
    </row>
    <row r="7" customFormat="false" ht="15" hidden="false" customHeight="false" outlineLevel="0" collapsed="false">
      <c r="A7" s="2" t="s">
        <v>42</v>
      </c>
      <c r="B7" s="3" t="s">
        <v>34</v>
      </c>
      <c r="C7" s="3" t="s">
        <v>43</v>
      </c>
      <c r="D7" s="2" t="s">
        <v>44</v>
      </c>
      <c r="E7" s="2" t="s">
        <v>45</v>
      </c>
      <c r="F7" s="2" t="s">
        <v>41</v>
      </c>
      <c r="G7" s="2" t="s">
        <v>46</v>
      </c>
      <c r="H7" s="4" t="n">
        <v>46296</v>
      </c>
      <c r="I7" s="4" t="n">
        <v>46316</v>
      </c>
      <c r="J7" s="5" t="n">
        <v>0</v>
      </c>
      <c r="K7" s="4" t="n">
        <v>46291</v>
      </c>
      <c r="L7" s="3"/>
      <c r="M7" s="6" t="n">
        <f aca="true">IF(G7="Completed","",I7-TODAY())</f>
        <v>20</v>
      </c>
      <c r="N7" s="7" t="str">
        <f aca="true">IF(G7="Completed","Done",IF(I7&lt;TODAY(),"Red",IF(OR(G7="Blocked",AND(I7-TODAY()&lt;=7,J7&lt;0.5)),"Amber","Green")))</f>
        <v>Green</v>
      </c>
    </row>
    <row r="8" customFormat="false" ht="15" hidden="false" customHeight="false" outlineLevel="0" collapsed="false">
      <c r="A8" s="2" t="s">
        <v>47</v>
      </c>
      <c r="B8" s="3" t="s">
        <v>48</v>
      </c>
      <c r="C8" s="3" t="s">
        <v>49</v>
      </c>
      <c r="D8" s="2" t="s">
        <v>50</v>
      </c>
      <c r="E8" s="2" t="s">
        <v>37</v>
      </c>
      <c r="F8" s="2" t="s">
        <v>19</v>
      </c>
      <c r="G8" s="2" t="s">
        <v>20</v>
      </c>
      <c r="H8" s="4" t="n">
        <v>46266</v>
      </c>
      <c r="I8" s="4" t="n">
        <v>46291</v>
      </c>
      <c r="J8" s="5" t="n">
        <v>1</v>
      </c>
      <c r="K8" s="4" t="n">
        <v>46291</v>
      </c>
      <c r="L8" s="3"/>
      <c r="M8" s="6" t="str">
        <f aca="true">IF(G8="Completed","",I8-TODAY())</f>
        <v/>
      </c>
      <c r="N8" s="7" t="str">
        <f aca="true">IF(G8="Completed","Done",IF(I8&lt;TODAY(),"Red",IF(OR(G8="Blocked",AND(I8-TODAY()&lt;=7,J8&lt;0.5)),"Amber","Green")))</f>
        <v>Done</v>
      </c>
    </row>
    <row r="9" customFormat="false" ht="15" hidden="false" customHeight="false" outlineLevel="0" collapsed="false">
      <c r="A9" s="2" t="s">
        <v>51</v>
      </c>
      <c r="B9" s="3" t="s">
        <v>48</v>
      </c>
      <c r="C9" s="3" t="s">
        <v>52</v>
      </c>
      <c r="D9" s="2" t="s">
        <v>53</v>
      </c>
      <c r="E9" s="2" t="s">
        <v>18</v>
      </c>
      <c r="F9" s="2" t="s">
        <v>41</v>
      </c>
      <c r="G9" s="2" t="s">
        <v>25</v>
      </c>
      <c r="H9" s="4" t="n">
        <v>46284</v>
      </c>
      <c r="I9" s="4" t="n">
        <v>46294</v>
      </c>
      <c r="J9" s="5" t="n">
        <v>0.5</v>
      </c>
      <c r="K9" s="4" t="n">
        <v>46292</v>
      </c>
      <c r="L9" s="3" t="s">
        <v>54</v>
      </c>
      <c r="M9" s="6" t="n">
        <f aca="true">IF(G9="Completed","",I9-TODAY())</f>
        <v>-2</v>
      </c>
      <c r="N9" s="7" t="str">
        <f aca="true">IF(G9="Completed","Done",IF(I9&lt;TODAY(),"Red",IF(OR(G9="Blocked",AND(I9-TODAY()&lt;=7,J9&lt;0.5)),"Amber","Green")))</f>
        <v>Red</v>
      </c>
    </row>
    <row r="10" customFormat="false" ht="15" hidden="false" customHeight="false" outlineLevel="0" collapsed="false">
      <c r="A10" s="2" t="s">
        <v>55</v>
      </c>
      <c r="B10" s="3" t="s">
        <v>48</v>
      </c>
      <c r="C10" s="3" t="s">
        <v>56</v>
      </c>
      <c r="D10" s="2" t="s">
        <v>17</v>
      </c>
      <c r="E10" s="2" t="s">
        <v>57</v>
      </c>
      <c r="F10" s="2" t="s">
        <v>19</v>
      </c>
      <c r="G10" s="2" t="s">
        <v>46</v>
      </c>
      <c r="H10" s="4" t="n">
        <v>46298</v>
      </c>
      <c r="I10" s="4" t="n">
        <v>46302</v>
      </c>
      <c r="J10" s="5" t="n">
        <v>0</v>
      </c>
      <c r="K10" s="4" t="n">
        <v>46294</v>
      </c>
      <c r="L10" s="3"/>
      <c r="M10" s="6" t="n">
        <f aca="true">IF(G10="Completed","",I10-TODAY())</f>
        <v>6</v>
      </c>
      <c r="N10" s="7" t="str">
        <f aca="true">IF(G10="Completed","Done",IF(I10&lt;TODAY(),"Red",IF(OR(G10="Blocked",AND(I10-TODAY()&lt;=7,J10&lt;0.5)),"Amber","Green")))</f>
        <v>Amber</v>
      </c>
    </row>
    <row r="11" customFormat="false" ht="15" hidden="false" customHeight="false" outlineLevel="0" collapsed="false">
      <c r="A11" s="2" t="s">
        <v>58</v>
      </c>
      <c r="B11" s="3" t="s">
        <v>59</v>
      </c>
      <c r="C11" s="3" t="s">
        <v>60</v>
      </c>
      <c r="D11" s="2" t="s">
        <v>53</v>
      </c>
      <c r="E11" s="2" t="s">
        <v>18</v>
      </c>
      <c r="F11" s="2" t="s">
        <v>41</v>
      </c>
      <c r="G11" s="2" t="s">
        <v>25</v>
      </c>
      <c r="H11" s="4" t="n">
        <v>46278</v>
      </c>
      <c r="I11" s="4" t="n">
        <v>46305</v>
      </c>
      <c r="J11" s="5" t="n">
        <v>0.55</v>
      </c>
      <c r="K11" s="4" t="n">
        <v>46294</v>
      </c>
      <c r="L11" s="3"/>
      <c r="M11" s="6" t="n">
        <f aca="true">IF(G11="Completed","",I11-TODAY())</f>
        <v>9</v>
      </c>
      <c r="N11" s="7" t="str">
        <f aca="true">IF(G11="Completed","Done",IF(I11&lt;TODAY(),"Red",IF(OR(G11="Blocked",AND(I11-TODAY()&lt;=7,J11&lt;0.5)),"Amber","Green")))</f>
        <v>Green</v>
      </c>
    </row>
    <row r="12" customFormat="false" ht="15" hidden="false" customHeight="false" outlineLevel="0" collapsed="false">
      <c r="A12" s="2" t="s">
        <v>61</v>
      </c>
      <c r="B12" s="3" t="s">
        <v>59</v>
      </c>
      <c r="C12" s="3" t="s">
        <v>62</v>
      </c>
      <c r="D12" s="2" t="s">
        <v>63</v>
      </c>
      <c r="E12" s="2" t="s">
        <v>64</v>
      </c>
      <c r="F12" s="2" t="s">
        <v>19</v>
      </c>
      <c r="G12" s="2" t="s">
        <v>31</v>
      </c>
      <c r="H12" s="4" t="n">
        <v>46288</v>
      </c>
      <c r="I12" s="4" t="n">
        <v>46301</v>
      </c>
      <c r="J12" s="5" t="n">
        <v>0.2</v>
      </c>
      <c r="K12" s="4" t="n">
        <v>46290</v>
      </c>
      <c r="L12" s="3" t="s">
        <v>65</v>
      </c>
      <c r="M12" s="6" t="n">
        <f aca="true">IF(G12="Completed","",I12-TODAY())</f>
        <v>5</v>
      </c>
      <c r="N12" s="7" t="str">
        <f aca="true">IF(G12="Completed","Done",IF(I12&lt;TODAY(),"Red",IF(OR(G12="Blocked",AND(I12-TODAY()&lt;=7,J12&lt;0.5)),"Amber","Green")))</f>
        <v>Amber</v>
      </c>
    </row>
    <row r="13" customFormat="false" ht="15" hidden="false" customHeight="false" outlineLevel="0" collapsed="false">
      <c r="A13" s="2" t="s">
        <v>66</v>
      </c>
      <c r="B13" s="3" t="s">
        <v>67</v>
      </c>
      <c r="C13" s="3" t="s">
        <v>68</v>
      </c>
      <c r="D13" s="2" t="s">
        <v>44</v>
      </c>
      <c r="E13" s="2" t="s">
        <v>45</v>
      </c>
      <c r="F13" s="2" t="s">
        <v>19</v>
      </c>
      <c r="G13" s="2" t="s">
        <v>25</v>
      </c>
      <c r="H13" s="4" t="n">
        <v>46261</v>
      </c>
      <c r="I13" s="4" t="n">
        <v>46282</v>
      </c>
      <c r="J13" s="5" t="n">
        <v>0.8</v>
      </c>
      <c r="K13" s="4" t="n">
        <v>46293</v>
      </c>
      <c r="L13" s="3" t="s">
        <v>69</v>
      </c>
      <c r="M13" s="6" t="n">
        <f aca="true">IF(G13="Completed","",I13-TODAY())</f>
        <v>-14</v>
      </c>
      <c r="N13" s="7" t="str">
        <f aca="true">IF(G13="Completed","Done",IF(I13&lt;TODAY(),"Red",IF(OR(G13="Blocked",AND(I13-TODAY()&lt;=7,J13&lt;0.5)),"Amber","Green")))</f>
        <v>Red</v>
      </c>
    </row>
    <row r="14" customFormat="false" ht="15" hidden="false" customHeight="false" outlineLevel="0" collapsed="false">
      <c r="A14" s="2" t="s">
        <v>70</v>
      </c>
      <c r="B14" s="3" t="s">
        <v>67</v>
      </c>
      <c r="C14" s="3" t="s">
        <v>71</v>
      </c>
      <c r="D14" s="2" t="s">
        <v>29</v>
      </c>
      <c r="E14" s="2" t="s">
        <v>30</v>
      </c>
      <c r="F14" s="2" t="s">
        <v>41</v>
      </c>
      <c r="G14" s="2" t="s">
        <v>20</v>
      </c>
      <c r="H14" s="4" t="n">
        <v>46268</v>
      </c>
      <c r="I14" s="4" t="n">
        <v>46289</v>
      </c>
      <c r="J14" s="5" t="n">
        <v>1</v>
      </c>
      <c r="K14" s="4" t="n">
        <v>46289</v>
      </c>
      <c r="L14" s="3"/>
      <c r="M14" s="6" t="str">
        <f aca="true">IF(G14="Completed","",I14-TODAY())</f>
        <v/>
      </c>
      <c r="N14" s="7" t="str">
        <f aca="true">IF(G14="Completed","Done",IF(I14&lt;TODAY(),"Red",IF(OR(G14="Blocked",AND(I14-TODAY()&lt;=7,J14&lt;0.5)),"Amber","Green")))</f>
        <v>Done</v>
      </c>
    </row>
    <row r="15" customFormat="false" ht="15" hidden="false" customHeight="false" outlineLevel="0" collapsed="false">
      <c r="A15" s="2" t="s">
        <v>72</v>
      </c>
      <c r="B15" s="3" t="s">
        <v>67</v>
      </c>
      <c r="C15" s="3" t="s">
        <v>73</v>
      </c>
      <c r="D15" s="2" t="s">
        <v>23</v>
      </c>
      <c r="E15" s="2" t="s">
        <v>24</v>
      </c>
      <c r="F15" s="2" t="s">
        <v>41</v>
      </c>
      <c r="G15" s="2" t="s">
        <v>25</v>
      </c>
      <c r="H15" s="4" t="n">
        <v>46291</v>
      </c>
      <c r="I15" s="4" t="n">
        <v>46300</v>
      </c>
      <c r="J15" s="5" t="n">
        <v>0.4</v>
      </c>
      <c r="K15" s="4" t="n">
        <v>46295</v>
      </c>
      <c r="L15" s="3"/>
      <c r="M15" s="6" t="n">
        <f aca="true">IF(G15="Completed","",I15-TODAY())</f>
        <v>4</v>
      </c>
      <c r="N15" s="7" t="str">
        <f aca="true">IF(G15="Completed","Done",IF(I15&lt;TODAY(),"Red",IF(OR(G15="Blocked",AND(I15-TODAY()&lt;=7,J15&lt;0.5)),"Amber","Green")))</f>
        <v>Amber</v>
      </c>
    </row>
    <row r="16" customFormat="false" ht="15" hidden="false" customHeight="false" outlineLevel="0" collapsed="false">
      <c r="A16" s="2" t="s">
        <v>74</v>
      </c>
      <c r="B16" s="3" t="s">
        <v>75</v>
      </c>
      <c r="C16" s="3" t="s">
        <v>76</v>
      </c>
      <c r="D16" s="2" t="s">
        <v>36</v>
      </c>
      <c r="E16" s="2" t="s">
        <v>30</v>
      </c>
      <c r="F16" s="2" t="s">
        <v>19</v>
      </c>
      <c r="G16" s="2" t="s">
        <v>20</v>
      </c>
      <c r="H16" s="4" t="n">
        <v>46274</v>
      </c>
      <c r="I16" s="4" t="n">
        <v>46293</v>
      </c>
      <c r="J16" s="5" t="n">
        <v>1</v>
      </c>
      <c r="K16" s="4" t="n">
        <v>46293</v>
      </c>
      <c r="L16" s="3"/>
      <c r="M16" s="6" t="str">
        <f aca="true">IF(G16="Completed","",I16-TODAY())</f>
        <v/>
      </c>
      <c r="N16" s="7" t="str">
        <f aca="true">IF(G16="Completed","Done",IF(I16&lt;TODAY(),"Red",IF(OR(G16="Blocked",AND(I16-TODAY()&lt;=7,J16&lt;0.5)),"Amber","Green")))</f>
        <v>Done</v>
      </c>
    </row>
    <row r="17" customFormat="false" ht="15" hidden="false" customHeight="false" outlineLevel="0" collapsed="false">
      <c r="A17" s="2" t="s">
        <v>77</v>
      </c>
      <c r="B17" s="3" t="s">
        <v>75</v>
      </c>
      <c r="C17" s="3" t="s">
        <v>78</v>
      </c>
      <c r="D17" s="2" t="s">
        <v>79</v>
      </c>
      <c r="E17" s="2" t="s">
        <v>57</v>
      </c>
      <c r="F17" s="2" t="s">
        <v>41</v>
      </c>
      <c r="G17" s="2" t="s">
        <v>25</v>
      </c>
      <c r="H17" s="4" t="n">
        <v>46282</v>
      </c>
      <c r="I17" s="4" t="n">
        <v>46303</v>
      </c>
      <c r="J17" s="5" t="n">
        <v>0.65</v>
      </c>
      <c r="K17" s="4" t="n">
        <v>46295</v>
      </c>
      <c r="L17" s="3"/>
      <c r="M17" s="6" t="n">
        <f aca="true">IF(G17="Completed","",I17-TODAY())</f>
        <v>7</v>
      </c>
      <c r="N17" s="7" t="str">
        <f aca="true">IF(G17="Completed","Done",IF(I17&lt;TODAY(),"Red",IF(OR(G17="Blocked",AND(I17-TODAY()&lt;=7,J17&lt;0.5)),"Amber","Green")))</f>
        <v>Green</v>
      </c>
    </row>
    <row r="18" customFormat="false" ht="15" hidden="false" customHeight="false" outlineLevel="0" collapsed="false">
      <c r="A18" s="2" t="s">
        <v>80</v>
      </c>
      <c r="B18" s="3" t="s">
        <v>75</v>
      </c>
      <c r="C18" s="3" t="s">
        <v>81</v>
      </c>
      <c r="D18" s="2" t="s">
        <v>79</v>
      </c>
      <c r="E18" s="2" t="s">
        <v>57</v>
      </c>
      <c r="F18" s="2" t="s">
        <v>82</v>
      </c>
      <c r="G18" s="2" t="s">
        <v>46</v>
      </c>
      <c r="H18" s="4" t="n">
        <v>46299</v>
      </c>
      <c r="I18" s="4" t="n">
        <v>46321</v>
      </c>
      <c r="J18" s="5" t="n">
        <v>0</v>
      </c>
      <c r="K18" s="4" t="n">
        <v>46292</v>
      </c>
      <c r="L18" s="3"/>
      <c r="M18" s="6" t="n">
        <f aca="true">IF(G18="Completed","",I18-TODAY())</f>
        <v>25</v>
      </c>
      <c r="N18" s="7" t="str">
        <f aca="true">IF(G18="Completed","Done",IF(I18&lt;TODAY(),"Red",IF(OR(G18="Blocked",AND(I18-TODAY()&lt;=7,J18&lt;0.5)),"Amber","Green")))</f>
        <v>Green</v>
      </c>
    </row>
    <row r="19" customFormat="false" ht="15" hidden="false" customHeight="false" outlineLevel="0" collapsed="false">
      <c r="A19" s="2" t="s">
        <v>83</v>
      </c>
      <c r="B19" s="3" t="s">
        <v>84</v>
      </c>
      <c r="C19" s="3" t="s">
        <v>85</v>
      </c>
      <c r="D19" s="2" t="s">
        <v>50</v>
      </c>
      <c r="E19" s="2" t="s">
        <v>37</v>
      </c>
      <c r="F19" s="2" t="s">
        <v>19</v>
      </c>
      <c r="G19" s="2" t="s">
        <v>20</v>
      </c>
      <c r="H19" s="4" t="n">
        <v>46276</v>
      </c>
      <c r="I19" s="4" t="n">
        <v>46288</v>
      </c>
      <c r="J19" s="5" t="n">
        <v>1</v>
      </c>
      <c r="K19" s="4" t="n">
        <v>46288</v>
      </c>
      <c r="L19" s="3"/>
      <c r="M19" s="6" t="str">
        <f aca="true">IF(G19="Completed","",I19-TODAY())</f>
        <v/>
      </c>
      <c r="N19" s="7" t="str">
        <f aca="true">IF(G19="Completed","Done",IF(I19&lt;TODAY(),"Red",IF(OR(G19="Blocked",AND(I19-TODAY()&lt;=7,J19&lt;0.5)),"Amber","Green")))</f>
        <v>Done</v>
      </c>
    </row>
    <row r="20" customFormat="false" ht="15" hidden="false" customHeight="false" outlineLevel="0" collapsed="false">
      <c r="A20" s="2" t="s">
        <v>86</v>
      </c>
      <c r="B20" s="3" t="s">
        <v>84</v>
      </c>
      <c r="C20" s="3" t="s">
        <v>87</v>
      </c>
      <c r="D20" s="2" t="s">
        <v>63</v>
      </c>
      <c r="E20" s="2" t="s">
        <v>24</v>
      </c>
      <c r="F20" s="2" t="s">
        <v>41</v>
      </c>
      <c r="G20" s="2" t="s">
        <v>25</v>
      </c>
      <c r="H20" s="4" t="n">
        <v>46289</v>
      </c>
      <c r="I20" s="4" t="n">
        <v>46297</v>
      </c>
      <c r="J20" s="5" t="n">
        <v>0.45</v>
      </c>
      <c r="K20" s="4" t="n">
        <v>46295</v>
      </c>
      <c r="L20" s="3"/>
      <c r="M20" s="6" t="n">
        <f aca="true">IF(G20="Completed","",I20-TODAY())</f>
        <v>1</v>
      </c>
      <c r="N20" s="7" t="str">
        <f aca="true">IF(G20="Completed","Done",IF(I20&lt;TODAY(),"Red",IF(OR(G20="Blocked",AND(I20-TODAY()&lt;=7,J20&lt;0.5)),"Amber","Green")))</f>
        <v>Amber</v>
      </c>
    </row>
    <row r="21" customFormat="false" ht="15" hidden="false" customHeight="false" outlineLevel="0" collapsed="false">
      <c r="A21" s="2" t="s">
        <v>88</v>
      </c>
      <c r="B21" s="3" t="s">
        <v>84</v>
      </c>
      <c r="C21" s="3" t="s">
        <v>89</v>
      </c>
      <c r="D21" s="2" t="s">
        <v>17</v>
      </c>
      <c r="E21" s="2" t="s">
        <v>57</v>
      </c>
      <c r="F21" s="2" t="s">
        <v>82</v>
      </c>
      <c r="G21" s="2" t="s">
        <v>46</v>
      </c>
      <c r="H21" s="4" t="n">
        <v>46301</v>
      </c>
      <c r="I21" s="4" t="n">
        <v>46326</v>
      </c>
      <c r="J21" s="5" t="n">
        <v>0</v>
      </c>
      <c r="K21" s="4" t="n">
        <v>46294</v>
      </c>
      <c r="L21" s="3"/>
      <c r="M21" s="6" t="n">
        <f aca="true">IF(G21="Completed","",I21-TODAY())</f>
        <v>30</v>
      </c>
      <c r="N21" s="7" t="str">
        <f aca="true">IF(G21="Completed","Done",IF(I21&lt;TODAY(),"Red",IF(OR(G21="Blocked",AND(I21-TODAY()&lt;=7,J21&lt;0.5)),"Amber","Green")))</f>
        <v>Green</v>
      </c>
    </row>
    <row r="22" customFormat="false" ht="15" hidden="false" customHeight="false" outlineLevel="0" collapsed="false">
      <c r="A22" s="2" t="s">
        <v>90</v>
      </c>
      <c r="B22" s="3" t="s">
        <v>84</v>
      </c>
      <c r="C22" s="3" t="s">
        <v>91</v>
      </c>
      <c r="D22" s="2" t="s">
        <v>40</v>
      </c>
      <c r="E22" s="2" t="s">
        <v>24</v>
      </c>
      <c r="F22" s="2" t="s">
        <v>41</v>
      </c>
      <c r="G22" s="2" t="s">
        <v>25</v>
      </c>
      <c r="H22" s="4" t="n">
        <v>46287</v>
      </c>
      <c r="I22" s="4" t="n">
        <v>46295</v>
      </c>
      <c r="J22" s="5" t="n">
        <v>0.9</v>
      </c>
      <c r="K22" s="4" t="n">
        <v>46295</v>
      </c>
      <c r="L22" s="3"/>
      <c r="M22" s="6" t="n">
        <f aca="true">IF(G22="Completed","",I22-TODAY())</f>
        <v>-1</v>
      </c>
      <c r="N22" s="7" t="str">
        <f aca="true">IF(G22="Completed","Done",IF(I22&lt;TODAY(),"Red",IF(OR(G22="Blocked",AND(I22-TODAY()&lt;=7,J22&lt;0.5)),"Amber","Green")))</f>
        <v>Red</v>
      </c>
    </row>
  </sheetData>
  <autoFilter ref="A1:N22"/>
  <conditionalFormatting sqref="N2:N200">
    <cfRule type="cellIs" priority="2" operator="equal" aboveAverage="0" equalAverage="0" bottom="0" percent="0" rank="0" text="" dxfId="12">
      <formula>"Red"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"Green"</formula>
    </cfRule>
    <cfRule type="cellIs" priority="5" operator="equal" aboveAverage="0" equalAverage="0" bottom="0" percent="0" rank="0" text="" dxfId="15">
      <formula>"Done"</formula>
    </cfRule>
  </conditionalFormatting>
  <dataValidations count="3">
    <dataValidation allowBlank="true" errorStyle="stop" operator="between" showDropDown="false" showErrorMessage="false" showInputMessage="false" sqref="E2:E200" type="list">
      <formula1>"Business,Operations,Finance,Risk,Compliance,Technology,Infrastructure"</formula1>
      <formula2>0</formula2>
    </dataValidation>
    <dataValidation allowBlank="true" errorStyle="stop" operator="between" showDropDown="false" showErrorMessage="false" showInputMessage="false" sqref="F2:F200" type="list">
      <formula1>"High,Medium,Low"</formula1>
      <formula2>0</formula2>
    </dataValidation>
    <dataValidation allowBlank="true" errorStyle="stop" operator="between" showDropDown="false" showErrorMessage="false" showInputMessage="false" sqref="G2:G200" type="list">
      <formula1>"Not Started,In Progress,Blocked,Completed"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92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93</v>
      </c>
    </row>
    <row r="4" customFormat="false" ht="15" hidden="false" customHeight="false" outlineLevel="0" collapsed="false">
      <c r="A4" s="9" t="s">
        <v>94</v>
      </c>
    </row>
    <row r="5" customFormat="false" ht="15" hidden="false" customHeight="false" outlineLevel="0" collapsed="false">
      <c r="A5" s="9" t="s">
        <v>95</v>
      </c>
    </row>
    <row r="6" customFormat="false" ht="15" hidden="false" customHeight="false" outlineLevel="0" collapsed="false">
      <c r="A6" s="9" t="s">
        <v>96</v>
      </c>
    </row>
    <row r="7" customFormat="false" ht="15" hidden="false" customHeight="false" outlineLevel="0" collapsed="false">
      <c r="A7" s="9" t="s">
        <v>97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8" t="s">
        <v>98</v>
      </c>
    </row>
    <row r="10" customFormat="false" ht="15" hidden="false" customHeight="false" outlineLevel="0" collapsed="false">
      <c r="A10" s="9" t="s">
        <v>99</v>
      </c>
    </row>
    <row r="11" customFormat="false" ht="15" hidden="false" customHeight="false" outlineLevel="0" collapsed="false">
      <c r="A11" s="9" t="s">
        <v>100</v>
      </c>
    </row>
    <row r="12" customFormat="false" ht="15" hidden="false" customHeight="false" outlineLevel="0" collapsed="false">
      <c r="A12" s="9" t="s">
        <v>101</v>
      </c>
    </row>
    <row r="13" customFormat="false" ht="15" hidden="false" customHeight="false" outlineLevel="0" collapsed="false">
      <c r="A13" s="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2026-10-01T12:08:10Z</dcterms:created>
  <dc:creator>openpyxl</dc:creator>
  <dc:description/>
  <dc:language>en-US</dc:language>
  <cp:lastModifiedBy/>
  <dcterms:modified xsi:type="dcterms:W3CDTF">2026-10-01T12:08:10Z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
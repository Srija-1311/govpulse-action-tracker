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'Tracker'!$A$1:$N$22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;-0;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/>
    </xf>
    <xf numFmtId="9" fontId="2" fillId="0" borderId="1" applyAlignment="1" pivotButton="0" quotePrefix="0" xfId="0">
      <alignment vertical="center"/>
    </xf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9C1C28"/>
      </font>
      <fill>
        <patternFill patternType="solid">
          <bgColor rgb="00F8D7DA"/>
        </patternFill>
      </fill>
    </dxf>
    <dxf>
      <font>
        <name val="Arial"/>
        <b val="1"/>
        <color rgb="008A5A00"/>
      </font>
      <fill>
        <patternFill patternType="solid">
          <bgColor rgb="00FFF0C2"/>
        </patternFill>
      </fill>
    </dxf>
    <dxf>
      <font>
        <name val="Arial"/>
        <b val="1"/>
        <color rgb="001E6B3A"/>
      </font>
      <fill>
        <patternFill patternType="solid">
          <bgColor rgb="00D4EDDA"/>
        </patternFill>
      </fill>
    </dxf>
    <dxf>
      <font>
        <name val="Arial"/>
        <b val="1"/>
        <color rgb="00475467"/>
      </font>
      <fill>
        <patternFill patternType="solid">
          <bgColor rgb="00E7EA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16" customWidth="1" min="4" max="4"/>
    <col width="14" customWidth="1" min="5" max="5"/>
    <col width="10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34" customWidth="1" min="12" max="12"/>
    <col width="11" customWidth="1" min="13" max="13"/>
    <col width="9" customWidth="1" min="14" max="14"/>
  </cols>
  <sheetData>
    <row r="1" ht="28" customHeight="1">
      <c r="A1" s="1" t="inlineStr">
        <is>
          <t>ID</t>
        </is>
      </c>
      <c r="B1" s="1" t="inlineStr">
        <is>
          <t>Initiative</t>
        </is>
      </c>
      <c r="C1" s="1" t="inlineStr">
        <is>
          <t>Action Item</t>
        </is>
      </c>
      <c r="D1" s="1" t="inlineStr">
        <is>
          <t>Owner</t>
        </is>
      </c>
      <c r="E1" s="1" t="inlineStr">
        <is>
          <t>Function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Start Date</t>
        </is>
      </c>
      <c r="I1" s="1" t="inlineStr">
        <is>
          <t>Due Date</t>
        </is>
      </c>
      <c r="J1" s="1" t="inlineStr">
        <is>
          <t>% Complete</t>
        </is>
      </c>
      <c r="K1" s="1" t="inlineStr">
        <is>
          <t>Last Update</t>
        </is>
      </c>
      <c r="L1" s="1" t="inlineStr">
        <is>
          <t>Remarks</t>
        </is>
      </c>
      <c r="M1" s="1" t="inlineStr">
        <is>
          <t>Days to Due</t>
        </is>
      </c>
      <c r="N1" s="1" t="inlineStr">
        <is>
          <t>RAG</t>
        </is>
      </c>
    </row>
    <row r="2">
      <c r="A2" s="2" t="inlineStr">
        <is>
          <t>A-001</t>
        </is>
      </c>
      <c r="B2" s="3" t="inlineStr">
        <is>
          <t>Client Onboarding Digitisation</t>
        </is>
      </c>
      <c r="C2" s="3" t="inlineStr">
        <is>
          <t>Finalise process map for e-onboarding</t>
        </is>
      </c>
      <c r="D2" s="2" t="inlineStr">
        <is>
          <t>Aarav Mehta</t>
        </is>
      </c>
      <c r="E2" s="2" t="inlineStr">
        <is>
          <t>Operations</t>
        </is>
      </c>
      <c r="F2" s="2" t="inlineStr">
        <is>
          <t>High</t>
        </is>
      </c>
      <c r="G2" s="2" t="inlineStr">
        <is>
          <t>Completed</t>
        </is>
      </c>
      <c r="H2" s="4" t="n">
        <v>46256</v>
      </c>
      <c r="I2" s="4" t="n">
        <v>46286</v>
      </c>
      <c r="J2" s="5" t="n">
        <v>1</v>
      </c>
      <c r="K2" s="4" t="n">
        <v>46286</v>
      </c>
      <c r="L2" s="3" t="inlineStr"/>
      <c r="M2" s="6">
        <f>IF(G2="Completed","",I2-TODAY())</f>
        <v/>
      </c>
      <c r="N2" s="7">
        <f>IF(G2="Completed","Done",IF(I2&lt;TODAY(),"Red",IF(OR(G2="Blocked",AND(I2-TODAY()&lt;=7,J2&lt;0.5)),"Amber","Green")))</f>
        <v/>
      </c>
    </row>
    <row r="3">
      <c r="A3" s="2" t="inlineStr">
        <is>
          <t>A-002</t>
        </is>
      </c>
      <c r="B3" s="3" t="inlineStr">
        <is>
          <t>Client Onboarding Digitisation</t>
        </is>
      </c>
      <c r="C3" s="3" t="inlineStr">
        <is>
          <t>Sign off UAT test scripts</t>
        </is>
      </c>
      <c r="D3" s="2" t="inlineStr">
        <is>
          <t>Neha Iyer</t>
        </is>
      </c>
      <c r="E3" s="2" t="inlineStr">
        <is>
          <t>Technology</t>
        </is>
      </c>
      <c r="F3" s="2" t="inlineStr">
        <is>
          <t>High</t>
        </is>
      </c>
      <c r="G3" s="2" t="inlineStr">
        <is>
          <t>In Progress</t>
        </is>
      </c>
      <c r="H3" s="4" t="n">
        <v>46276</v>
      </c>
      <c r="I3" s="4" t="n">
        <v>46292</v>
      </c>
      <c r="J3" s="5" t="n">
        <v>0.7</v>
      </c>
      <c r="K3" s="4" t="n">
        <v>46294</v>
      </c>
      <c r="L3" s="3" t="inlineStr">
        <is>
          <t>Two test cases pending</t>
        </is>
      </c>
      <c r="M3" s="6">
        <f>IF(G3="Completed","",I3-TODAY())</f>
        <v/>
      </c>
      <c r="N3" s="7">
        <f>IF(G3="Completed","Done",IF(I3&lt;TODAY(),"Red",IF(OR(G3="Blocked",AND(I3-TODAY()&lt;=7,J3&lt;0.5)),"Amber","Green")))</f>
        <v/>
      </c>
    </row>
    <row r="4">
      <c r="A4" s="2" t="inlineStr">
        <is>
          <t>A-003</t>
        </is>
      </c>
      <c r="B4" s="3" t="inlineStr">
        <is>
          <t>Client Onboarding Digitisation</t>
        </is>
      </c>
      <c r="C4" s="3" t="inlineStr">
        <is>
          <t>Compliance review of digital consent flow</t>
        </is>
      </c>
      <c r="D4" s="2" t="inlineStr">
        <is>
          <t>Rohan Das</t>
        </is>
      </c>
      <c r="E4" s="2" t="inlineStr">
        <is>
          <t>Compliance</t>
        </is>
      </c>
      <c r="F4" s="2" t="inlineStr">
        <is>
          <t>High</t>
        </is>
      </c>
      <c r="G4" s="2" t="inlineStr">
        <is>
          <t>Blocked</t>
        </is>
      </c>
      <c r="H4" s="4" t="n">
        <v>46271</v>
      </c>
      <c r="I4" s="4" t="n">
        <v>46290</v>
      </c>
      <c r="J4" s="5" t="n">
        <v>0.4</v>
      </c>
      <c r="K4" s="4" t="n">
        <v>46287</v>
      </c>
      <c r="L4" s="3" t="inlineStr">
        <is>
          <t>Awaiting legal opinion</t>
        </is>
      </c>
      <c r="M4" s="6">
        <f>IF(G4="Completed","",I4-TODAY())</f>
        <v/>
      </c>
      <c r="N4" s="7">
        <f>IF(G4="Completed","Done",IF(I4&lt;TODAY(),"Red",IF(OR(G4="Blocked",AND(I4-TODAY()&lt;=7,J4&lt;0.5)),"Amber","Green")))</f>
        <v/>
      </c>
    </row>
    <row r="5">
      <c r="A5" s="2" t="inlineStr">
        <is>
          <t>A-004</t>
        </is>
      </c>
      <c r="B5" s="3" t="inlineStr">
        <is>
          <t>Regulatory Reporting Automation</t>
        </is>
      </c>
      <c r="C5" s="3" t="inlineStr">
        <is>
          <t>Reconcile data fields to regulatory template</t>
        </is>
      </c>
      <c r="D5" s="2" t="inlineStr">
        <is>
          <t>Priya Nair</t>
        </is>
      </c>
      <c r="E5" s="2" t="inlineStr">
        <is>
          <t>Finance</t>
        </is>
      </c>
      <c r="F5" s="2" t="inlineStr">
        <is>
          <t>High</t>
        </is>
      </c>
      <c r="G5" s="2" t="inlineStr">
        <is>
          <t>In Progress</t>
        </is>
      </c>
      <c r="H5" s="4" t="n">
        <v>46281</v>
      </c>
      <c r="I5" s="4" t="n">
        <v>46299</v>
      </c>
      <c r="J5" s="5" t="n">
        <v>0.6</v>
      </c>
      <c r="K5" s="4" t="n">
        <v>46295</v>
      </c>
      <c r="L5" s="3" t="inlineStr"/>
      <c r="M5" s="6">
        <f>IF(G5="Completed","",I5-TODAY())</f>
        <v/>
      </c>
      <c r="N5" s="7">
        <f>IF(G5="Completed","Done",IF(I5&lt;TODAY(),"Red",IF(OR(G5="Blocked",AND(I5-TODAY()&lt;=7,J5&lt;0.5)),"Amber","Green")))</f>
        <v/>
      </c>
    </row>
    <row r="6">
      <c r="A6" s="2" t="inlineStr">
        <is>
          <t>A-005</t>
        </is>
      </c>
      <c r="B6" s="3" t="inlineStr">
        <is>
          <t>Regulatory Reporting Automation</t>
        </is>
      </c>
      <c r="C6" s="3" t="inlineStr">
        <is>
          <t>Automate monthly return generation</t>
        </is>
      </c>
      <c r="D6" s="2" t="inlineStr">
        <is>
          <t>Kunal Shah</t>
        </is>
      </c>
      <c r="E6" s="2" t="inlineStr">
        <is>
          <t>Technology</t>
        </is>
      </c>
      <c r="F6" s="2" t="inlineStr">
        <is>
          <t>Medium</t>
        </is>
      </c>
      <c r="G6" s="2" t="inlineStr">
        <is>
          <t>In Progress</t>
        </is>
      </c>
      <c r="H6" s="4" t="n">
        <v>46286</v>
      </c>
      <c r="I6" s="4" t="n">
        <v>46308</v>
      </c>
      <c r="J6" s="5" t="n">
        <v>0.3</v>
      </c>
      <c r="K6" s="4" t="n">
        <v>46293</v>
      </c>
      <c r="L6" s="3" t="inlineStr"/>
      <c r="M6" s="6">
        <f>IF(G6="Completed","",I6-TODAY())</f>
        <v/>
      </c>
      <c r="N6" s="7">
        <f>IF(G6="Completed","Done",IF(I6&lt;TODAY(),"Red",IF(OR(G6="Blocked",AND(I6-TODAY()&lt;=7,J6&lt;0.5)),"Amber","Green")))</f>
        <v/>
      </c>
    </row>
    <row r="7">
      <c r="A7" s="2" t="inlineStr">
        <is>
          <t>A-006</t>
        </is>
      </c>
      <c r="B7" s="3" t="inlineStr">
        <is>
          <t>Regulatory Reporting Automation</t>
        </is>
      </c>
      <c r="C7" s="3" t="inlineStr">
        <is>
          <t>Document control framework for reports</t>
        </is>
      </c>
      <c r="D7" s="2" t="inlineStr">
        <is>
          <t>Sana Qureshi</t>
        </is>
      </c>
      <c r="E7" s="2" t="inlineStr">
        <is>
          <t>Risk</t>
        </is>
      </c>
      <c r="F7" s="2" t="inlineStr">
        <is>
          <t>Medium</t>
        </is>
      </c>
      <c r="G7" s="2" t="inlineStr">
        <is>
          <t>Not Started</t>
        </is>
      </c>
      <c r="H7" s="4" t="n">
        <v>46296</v>
      </c>
      <c r="I7" s="4" t="n">
        <v>46316</v>
      </c>
      <c r="J7" s="5" t="n">
        <v>0</v>
      </c>
      <c r="K7" s="4" t="n">
        <v>46291</v>
      </c>
      <c r="L7" s="3" t="inlineStr"/>
      <c r="M7" s="6">
        <f>IF(G7="Completed","",I7-TODAY())</f>
        <v/>
      </c>
      <c r="N7" s="7">
        <f>IF(G7="Completed","Done",IF(I7&lt;TODAY(),"Red",IF(OR(G7="Blocked",AND(I7-TODAY()&lt;=7,J7&lt;0.5)),"Amber","Green")))</f>
        <v/>
      </c>
    </row>
    <row r="8">
      <c r="A8" s="2" t="inlineStr">
        <is>
          <t>A-007</t>
        </is>
      </c>
      <c r="B8" s="3" t="inlineStr">
        <is>
          <t>Cost Optimisation FY27</t>
        </is>
      </c>
      <c r="C8" s="3" t="inlineStr">
        <is>
          <t>Baseline cost per transaction by product</t>
        </is>
      </c>
      <c r="D8" s="2" t="inlineStr">
        <is>
          <t>Meera Pillai</t>
        </is>
      </c>
      <c r="E8" s="2" t="inlineStr">
        <is>
          <t>Finance</t>
        </is>
      </c>
      <c r="F8" s="2" t="inlineStr">
        <is>
          <t>High</t>
        </is>
      </c>
      <c r="G8" s="2" t="inlineStr">
        <is>
          <t>Completed</t>
        </is>
      </c>
      <c r="H8" s="4" t="n">
        <v>46266</v>
      </c>
      <c r="I8" s="4" t="n">
        <v>46291</v>
      </c>
      <c r="J8" s="5" t="n">
        <v>1</v>
      </c>
      <c r="K8" s="4" t="n">
        <v>46291</v>
      </c>
      <c r="L8" s="3" t="inlineStr"/>
      <c r="M8" s="6">
        <f>IF(G8="Completed","",I8-TODAY())</f>
        <v/>
      </c>
      <c r="N8" s="7">
        <f>IF(G8="Completed","Done",IF(I8&lt;TODAY(),"Red",IF(OR(G8="Blocked",AND(I8-TODAY()&lt;=7,J8&lt;0.5)),"Amber","Green")))</f>
        <v/>
      </c>
    </row>
    <row r="9">
      <c r="A9" s="2" t="inlineStr">
        <is>
          <t>A-008</t>
        </is>
      </c>
      <c r="B9" s="3" t="inlineStr">
        <is>
          <t>Cost Optimisation FY27</t>
        </is>
      </c>
      <c r="C9" s="3" t="inlineStr">
        <is>
          <t>Identify vendor contract savings</t>
        </is>
      </c>
      <c r="D9" s="2" t="inlineStr">
        <is>
          <t>Vikram Rao</t>
        </is>
      </c>
      <c r="E9" s="2" t="inlineStr">
        <is>
          <t>Operations</t>
        </is>
      </c>
      <c r="F9" s="2" t="inlineStr">
        <is>
          <t>Medium</t>
        </is>
      </c>
      <c r="G9" s="2" t="inlineStr">
        <is>
          <t>In Progress</t>
        </is>
      </c>
      <c r="H9" s="4" t="n">
        <v>46284</v>
      </c>
      <c r="I9" s="4" t="n">
        <v>46294</v>
      </c>
      <c r="J9" s="5" t="n">
        <v>0.5</v>
      </c>
      <c r="K9" s="4" t="n">
        <v>46292</v>
      </c>
      <c r="L9" s="3" t="inlineStr">
        <is>
          <t>Two contracts still under review</t>
        </is>
      </c>
      <c r="M9" s="6">
        <f>IF(G9="Completed","",I9-TODAY())</f>
        <v/>
      </c>
      <c r="N9" s="7">
        <f>IF(G9="Completed","Done",IF(I9&lt;TODAY(),"Red",IF(OR(G9="Blocked",AND(I9-TODAY()&lt;=7,J9&lt;0.5)),"Amber","Green")))</f>
        <v/>
      </c>
    </row>
    <row r="10">
      <c r="A10" s="2" t="inlineStr">
        <is>
          <t>A-009</t>
        </is>
      </c>
      <c r="B10" s="3" t="inlineStr">
        <is>
          <t>Cost Optimisation FY27</t>
        </is>
      </c>
      <c r="C10" s="3" t="inlineStr">
        <is>
          <t>Present savings options to steering committee</t>
        </is>
      </c>
      <c r="D10" s="2" t="inlineStr">
        <is>
          <t>Aarav Mehta</t>
        </is>
      </c>
      <c r="E10" s="2" t="inlineStr">
        <is>
          <t>Business</t>
        </is>
      </c>
      <c r="F10" s="2" t="inlineStr">
        <is>
          <t>High</t>
        </is>
      </c>
      <c r="G10" s="2" t="inlineStr">
        <is>
          <t>Not Started</t>
        </is>
      </c>
      <c r="H10" s="4" t="n">
        <v>46298</v>
      </c>
      <c r="I10" s="4" t="n">
        <v>46302</v>
      </c>
      <c r="J10" s="5" t="n">
        <v>0</v>
      </c>
      <c r="K10" s="4" t="n">
        <v>46294</v>
      </c>
      <c r="L10" s="3" t="inlineStr"/>
      <c r="M10" s="6">
        <f>IF(G10="Completed","",I10-TODAY())</f>
        <v/>
      </c>
      <c r="N10" s="7">
        <f>IF(G10="Completed","Done",IF(I10&lt;TODAY(),"Red",IF(OR(G10="Blocked",AND(I10-TODAY()&lt;=7,J10&lt;0.5)),"Amber","Green")))</f>
        <v/>
      </c>
    </row>
    <row r="11">
      <c r="A11" s="2" t="inlineStr">
        <is>
          <t>A-010</t>
        </is>
      </c>
      <c r="B11" s="3" t="inlineStr">
        <is>
          <t>Vendor Consolidation</t>
        </is>
      </c>
      <c r="C11" s="3" t="inlineStr">
        <is>
          <t>Shortlist vendors via RFP scoring</t>
        </is>
      </c>
      <c r="D11" s="2" t="inlineStr">
        <is>
          <t>Vikram Rao</t>
        </is>
      </c>
      <c r="E11" s="2" t="inlineStr">
        <is>
          <t>Operations</t>
        </is>
      </c>
      <c r="F11" s="2" t="inlineStr">
        <is>
          <t>Medium</t>
        </is>
      </c>
      <c r="G11" s="2" t="inlineStr">
        <is>
          <t>In Progress</t>
        </is>
      </c>
      <c r="H11" s="4" t="n">
        <v>46278</v>
      </c>
      <c r="I11" s="4" t="n">
        <v>46305</v>
      </c>
      <c r="J11" s="5" t="n">
        <v>0.55</v>
      </c>
      <c r="K11" s="4" t="n">
        <v>46294</v>
      </c>
      <c r="L11" s="3" t="inlineStr"/>
      <c r="M11" s="6">
        <f>IF(G11="Completed","",I11-TODAY())</f>
        <v/>
      </c>
      <c r="N11" s="7">
        <f>IF(G11="Completed","Done",IF(I11&lt;TODAY(),"Red",IF(OR(G11="Blocked",AND(I11-TODAY()&lt;=7,J11&lt;0.5)),"Amber","Green")))</f>
        <v/>
      </c>
    </row>
    <row r="12">
      <c r="A12" s="2" t="inlineStr">
        <is>
          <t>A-011</t>
        </is>
      </c>
      <c r="B12" s="3" t="inlineStr">
        <is>
          <t>Vendor Consolidation</t>
        </is>
      </c>
      <c r="C12" s="3" t="inlineStr">
        <is>
          <t>Security assessment of shortlisted vendors</t>
        </is>
      </c>
      <c r="D12" s="2" t="inlineStr">
        <is>
          <t>Ishaan Verma</t>
        </is>
      </c>
      <c r="E12" s="2" t="inlineStr">
        <is>
          <t>Infrastructure</t>
        </is>
      </c>
      <c r="F12" s="2" t="inlineStr">
        <is>
          <t>High</t>
        </is>
      </c>
      <c r="G12" s="2" t="inlineStr">
        <is>
          <t>Blocked</t>
        </is>
      </c>
      <c r="H12" s="4" t="n">
        <v>46288</v>
      </c>
      <c r="I12" s="4" t="n">
        <v>46301</v>
      </c>
      <c r="J12" s="5" t="n">
        <v>0.2</v>
      </c>
      <c r="K12" s="4" t="n">
        <v>46290</v>
      </c>
      <c r="L12" s="3" t="inlineStr">
        <is>
          <t>Vendor has not shared SOC 2 report</t>
        </is>
      </c>
      <c r="M12" s="6">
        <f>IF(G12="Completed","",I12-TODAY())</f>
        <v/>
      </c>
      <c r="N12" s="7">
        <f>IF(G12="Completed","Done",IF(I12&lt;TODAY(),"Red",IF(OR(G12="Blocked",AND(I12-TODAY()&lt;=7,J12&lt;0.5)),"Amber","Green")))</f>
        <v/>
      </c>
    </row>
    <row r="13">
      <c r="A13" s="2" t="inlineStr">
        <is>
          <t>A-012</t>
        </is>
      </c>
      <c r="B13" s="3" t="inlineStr">
        <is>
          <t>Audit Findings Remediation</t>
        </is>
      </c>
      <c r="C13" s="3" t="inlineStr">
        <is>
          <t>Close access-review findings</t>
        </is>
      </c>
      <c r="D13" s="2" t="inlineStr">
        <is>
          <t>Sana Qureshi</t>
        </is>
      </c>
      <c r="E13" s="2" t="inlineStr">
        <is>
          <t>Risk</t>
        </is>
      </c>
      <c r="F13" s="2" t="inlineStr">
        <is>
          <t>High</t>
        </is>
      </c>
      <c r="G13" s="2" t="inlineStr">
        <is>
          <t>In Progress</t>
        </is>
      </c>
      <c r="H13" s="4" t="n">
        <v>46261</v>
      </c>
      <c r="I13" s="4" t="n">
        <v>46282</v>
      </c>
      <c r="J13" s="5" t="n">
        <v>0.8</v>
      </c>
      <c r="K13" s="4" t="n">
        <v>46293</v>
      </c>
      <c r="L13" s="3" t="inlineStr">
        <is>
          <t>Evidence for 3 findings outstanding</t>
        </is>
      </c>
      <c r="M13" s="6">
        <f>IF(G13="Completed","",I13-TODAY())</f>
        <v/>
      </c>
      <c r="N13" s="7">
        <f>IF(G13="Completed","Done",IF(I13&lt;TODAY(),"Red",IF(OR(G13="Blocked",AND(I13-TODAY()&lt;=7,J13&lt;0.5)),"Amber","Green")))</f>
        <v/>
      </c>
    </row>
    <row r="14">
      <c r="A14" s="2" t="inlineStr">
        <is>
          <t>A-013</t>
        </is>
      </c>
      <c r="B14" s="3" t="inlineStr">
        <is>
          <t>Audit Findings Remediation</t>
        </is>
      </c>
      <c r="C14" s="3" t="inlineStr">
        <is>
          <t>Update policy documents</t>
        </is>
      </c>
      <c r="D14" s="2" t="inlineStr">
        <is>
          <t>Rohan Das</t>
        </is>
      </c>
      <c r="E14" s="2" t="inlineStr">
        <is>
          <t>Compliance</t>
        </is>
      </c>
      <c r="F14" s="2" t="inlineStr">
        <is>
          <t>Medium</t>
        </is>
      </c>
      <c r="G14" s="2" t="inlineStr">
        <is>
          <t>Completed</t>
        </is>
      </c>
      <c r="H14" s="4" t="n">
        <v>46268</v>
      </c>
      <c r="I14" s="4" t="n">
        <v>46289</v>
      </c>
      <c r="J14" s="5" t="n">
        <v>1</v>
      </c>
      <c r="K14" s="4" t="n">
        <v>46289</v>
      </c>
      <c r="L14" s="3" t="inlineStr"/>
      <c r="M14" s="6">
        <f>IF(G14="Completed","",I14-TODAY())</f>
        <v/>
      </c>
      <c r="N14" s="7">
        <f>IF(G14="Completed","Done",IF(I14&lt;TODAY(),"Red",IF(OR(G14="Blocked",AND(I14-TODAY()&lt;=7,J14&lt;0.5)),"Amber","Green")))</f>
        <v/>
      </c>
    </row>
    <row r="15">
      <c r="A15" s="2" t="inlineStr">
        <is>
          <t>A-014</t>
        </is>
      </c>
      <c r="B15" s="3" t="inlineStr">
        <is>
          <t>Audit Findings Remediation</t>
        </is>
      </c>
      <c r="C15" s="3" t="inlineStr">
        <is>
          <t>Compile evidence pack for internal audit</t>
        </is>
      </c>
      <c r="D15" s="2" t="inlineStr">
        <is>
          <t>Neha Iyer</t>
        </is>
      </c>
      <c r="E15" s="2" t="inlineStr">
        <is>
          <t>Technology</t>
        </is>
      </c>
      <c r="F15" s="2" t="inlineStr">
        <is>
          <t>Medium</t>
        </is>
      </c>
      <c r="G15" s="2" t="inlineStr">
        <is>
          <t>In Progress</t>
        </is>
      </c>
      <c r="H15" s="4" t="n">
        <v>46291</v>
      </c>
      <c r="I15" s="4" t="n">
        <v>46300</v>
      </c>
      <c r="J15" s="5" t="n">
        <v>0.4</v>
      </c>
      <c r="K15" s="4" t="n">
        <v>46295</v>
      </c>
      <c r="L15" s="3" t="inlineStr"/>
      <c r="M15" s="6">
        <f>IF(G15="Completed","",I15-TODAY())</f>
        <v/>
      </c>
      <c r="N15" s="7">
        <f>IF(G15="Completed","Done",IF(I15&lt;TODAY(),"Red",IF(OR(G15="Blocked",AND(I15-TODAY()&lt;=7,J15&lt;0.5)),"Amber","Green")))</f>
        <v/>
      </c>
    </row>
    <row r="16">
      <c r="A16" s="2" t="inlineStr">
        <is>
          <t>A-015</t>
        </is>
      </c>
      <c r="B16" s="3" t="inlineStr">
        <is>
          <t>KYC Refresh Programme</t>
        </is>
      </c>
      <c r="C16" s="3" t="inlineStr">
        <is>
          <t>Prioritise high-risk client segment list</t>
        </is>
      </c>
      <c r="D16" s="2" t="inlineStr">
        <is>
          <t>Priya Nair</t>
        </is>
      </c>
      <c r="E16" s="2" t="inlineStr">
        <is>
          <t>Compliance</t>
        </is>
      </c>
      <c r="F16" s="2" t="inlineStr">
        <is>
          <t>High</t>
        </is>
      </c>
      <c r="G16" s="2" t="inlineStr">
        <is>
          <t>Completed</t>
        </is>
      </c>
      <c r="H16" s="4" t="n">
        <v>46274</v>
      </c>
      <c r="I16" s="4" t="n">
        <v>46293</v>
      </c>
      <c r="J16" s="5" t="n">
        <v>1</v>
      </c>
      <c r="K16" s="4" t="n">
        <v>46293</v>
      </c>
      <c r="L16" s="3" t="inlineStr"/>
      <c r="M16" s="6">
        <f>IF(G16="Completed","",I16-TODAY())</f>
        <v/>
      </c>
      <c r="N16" s="7">
        <f>IF(G16="Completed","Done",IF(I16&lt;TODAY(),"Red",IF(OR(G16="Blocked",AND(I16-TODAY()&lt;=7,J16&lt;0.5)),"Amber","Green")))</f>
        <v/>
      </c>
    </row>
    <row r="17">
      <c r="A17" s="2" t="inlineStr">
        <is>
          <t>A-016</t>
        </is>
      </c>
      <c r="B17" s="3" t="inlineStr">
        <is>
          <t>KYC Refresh Programme</t>
        </is>
      </c>
      <c r="C17" s="3" t="inlineStr">
        <is>
          <t>Set up outreach tracker for client documents</t>
        </is>
      </c>
      <c r="D17" s="2" t="inlineStr">
        <is>
          <t>Kavya Reddy</t>
        </is>
      </c>
      <c r="E17" s="2" t="inlineStr">
        <is>
          <t>Business</t>
        </is>
      </c>
      <c r="F17" s="2" t="inlineStr">
        <is>
          <t>Medium</t>
        </is>
      </c>
      <c r="G17" s="2" t="inlineStr">
        <is>
          <t>In Progress</t>
        </is>
      </c>
      <c r="H17" s="4" t="n">
        <v>46282</v>
      </c>
      <c r="I17" s="4" t="n">
        <v>46303</v>
      </c>
      <c r="J17" s="5" t="n">
        <v>0.65</v>
      </c>
      <c r="K17" s="4" t="n">
        <v>46295</v>
      </c>
      <c r="L17" s="3" t="inlineStr"/>
      <c r="M17" s="6">
        <f>IF(G17="Completed","",I17-TODAY())</f>
        <v/>
      </c>
      <c r="N17" s="7">
        <f>IF(G17="Completed","Done",IF(I17&lt;TODAY(),"Red",IF(OR(G17="Blocked",AND(I17-TODAY()&lt;=7,J17&lt;0.5)),"Amber","Green")))</f>
        <v/>
      </c>
    </row>
    <row r="18">
      <c r="A18" s="2" t="inlineStr">
        <is>
          <t>A-017</t>
        </is>
      </c>
      <c r="B18" s="3" t="inlineStr">
        <is>
          <t>KYC Refresh Programme</t>
        </is>
      </c>
      <c r="C18" s="3" t="inlineStr">
        <is>
          <t>Define escalation protocol for non-responsive clients</t>
        </is>
      </c>
      <c r="D18" s="2" t="inlineStr">
        <is>
          <t>Kavya Reddy</t>
        </is>
      </c>
      <c r="E18" s="2" t="inlineStr">
        <is>
          <t>Business</t>
        </is>
      </c>
      <c r="F18" s="2" t="inlineStr">
        <is>
          <t>Low</t>
        </is>
      </c>
      <c r="G18" s="2" t="inlineStr">
        <is>
          <t>Not Started</t>
        </is>
      </c>
      <c r="H18" s="4" t="n">
        <v>46299</v>
      </c>
      <c r="I18" s="4" t="n">
        <v>46321</v>
      </c>
      <c r="J18" s="5" t="n">
        <v>0</v>
      </c>
      <c r="K18" s="4" t="n">
        <v>46292</v>
      </c>
      <c r="L18" s="3" t="inlineStr"/>
      <c r="M18" s="6">
        <f>IF(G18="Completed","",I18-TODAY())</f>
        <v/>
      </c>
      <c r="N18" s="7">
        <f>IF(G18="Completed","Done",IF(I18&lt;TODAY(),"Red",IF(OR(G18="Blocked",AND(I18-TODAY()&lt;=7,J18&lt;0.5)),"Amber","Green")))</f>
        <v/>
      </c>
    </row>
    <row r="19">
      <c r="A19" s="2" t="inlineStr">
        <is>
          <t>A-018</t>
        </is>
      </c>
      <c r="B19" s="3" t="inlineStr">
        <is>
          <t>Productivity Dashboard Rollout</t>
        </is>
      </c>
      <c r="C19" s="3" t="inlineStr">
        <is>
          <t>Define KPI dictionary</t>
        </is>
      </c>
      <c r="D19" s="2" t="inlineStr">
        <is>
          <t>Meera Pillai</t>
        </is>
      </c>
      <c r="E19" s="2" t="inlineStr">
        <is>
          <t>Finance</t>
        </is>
      </c>
      <c r="F19" s="2" t="inlineStr">
        <is>
          <t>High</t>
        </is>
      </c>
      <c r="G19" s="2" t="inlineStr">
        <is>
          <t>Completed</t>
        </is>
      </c>
      <c r="H19" s="4" t="n">
        <v>46276</v>
      </c>
      <c r="I19" s="4" t="n">
        <v>46288</v>
      </c>
      <c r="J19" s="5" t="n">
        <v>1</v>
      </c>
      <c r="K19" s="4" t="n">
        <v>46288</v>
      </c>
      <c r="L19" s="3" t="inlineStr"/>
      <c r="M19" s="6">
        <f>IF(G19="Completed","",I19-TODAY())</f>
        <v/>
      </c>
      <c r="N19" s="7">
        <f>IF(G19="Completed","Done",IF(I19&lt;TODAY(),"Red",IF(OR(G19="Blocked",AND(I19-TODAY()&lt;=7,J19&lt;0.5)),"Amber","Green")))</f>
        <v/>
      </c>
    </row>
    <row r="20">
      <c r="A20" s="2" t="inlineStr">
        <is>
          <t>A-019</t>
        </is>
      </c>
      <c r="B20" s="3" t="inlineStr">
        <is>
          <t>Productivity Dashboard Rollout</t>
        </is>
      </c>
      <c r="C20" s="3" t="inlineStr">
        <is>
          <t>Build prototype dashboard</t>
        </is>
      </c>
      <c r="D20" s="2" t="inlineStr">
        <is>
          <t>Ishaan Verma</t>
        </is>
      </c>
      <c r="E20" s="2" t="inlineStr">
        <is>
          <t>Technology</t>
        </is>
      </c>
      <c r="F20" s="2" t="inlineStr">
        <is>
          <t>Medium</t>
        </is>
      </c>
      <c r="G20" s="2" t="inlineStr">
        <is>
          <t>In Progress</t>
        </is>
      </c>
      <c r="H20" s="4" t="n">
        <v>46289</v>
      </c>
      <c r="I20" s="4" t="n">
        <v>46297</v>
      </c>
      <c r="J20" s="5" t="n">
        <v>0.45</v>
      </c>
      <c r="K20" s="4" t="n">
        <v>46295</v>
      </c>
      <c r="L20" s="3" t="inlineStr"/>
      <c r="M20" s="6">
        <f>IF(G20="Completed","",I20-TODAY())</f>
        <v/>
      </c>
      <c r="N20" s="7">
        <f>IF(G20="Completed","Done",IF(I20&lt;TODAY(),"Red",IF(OR(G20="Blocked",AND(I20-TODAY()&lt;=7,J20&lt;0.5)),"Amber","Green")))</f>
        <v/>
      </c>
    </row>
    <row r="21">
      <c r="A21" s="2" t="inlineStr">
        <is>
          <t>A-020</t>
        </is>
      </c>
      <c r="B21" s="3" t="inlineStr">
        <is>
          <t>Productivity Dashboard Rollout</t>
        </is>
      </c>
      <c r="C21" s="3" t="inlineStr">
        <is>
          <t>Run stakeholder training sessions</t>
        </is>
      </c>
      <c r="D21" s="2" t="inlineStr">
        <is>
          <t>Aarav Mehta</t>
        </is>
      </c>
      <c r="E21" s="2" t="inlineStr">
        <is>
          <t>Business</t>
        </is>
      </c>
      <c r="F21" s="2" t="inlineStr">
        <is>
          <t>Low</t>
        </is>
      </c>
      <c r="G21" s="2" t="inlineStr">
        <is>
          <t>Not Started</t>
        </is>
      </c>
      <c r="H21" s="4" t="n">
        <v>46301</v>
      </c>
      <c r="I21" s="4" t="n">
        <v>46326</v>
      </c>
      <c r="J21" s="5" t="n">
        <v>0</v>
      </c>
      <c r="K21" s="4" t="n">
        <v>46294</v>
      </c>
      <c r="L21" s="3" t="inlineStr"/>
      <c r="M21" s="6">
        <f>IF(G21="Completed","",I21-TODAY())</f>
        <v/>
      </c>
      <c r="N21" s="7">
        <f>IF(G21="Completed","Done",IF(I21&lt;TODAY(),"Red",IF(OR(G21="Blocked",AND(I21-TODAY()&lt;=7,J21&lt;0.5)),"Amber","Green")))</f>
        <v/>
      </c>
    </row>
    <row r="22">
      <c r="A22" s="2" t="inlineStr">
        <is>
          <t>A-021</t>
        </is>
      </c>
      <c r="B22" s="3" t="inlineStr">
        <is>
          <t>Productivity Dashboard Rollout</t>
        </is>
      </c>
      <c r="C22" s="3" t="inlineStr">
        <is>
          <t>Automate reminder emails for open actions</t>
        </is>
      </c>
      <c r="D22" s="2" t="inlineStr">
        <is>
          <t>Kunal Shah</t>
        </is>
      </c>
      <c r="E22" s="2" t="inlineStr">
        <is>
          <t>Technology</t>
        </is>
      </c>
      <c r="F22" s="2" t="inlineStr">
        <is>
          <t>Medium</t>
        </is>
      </c>
      <c r="G22" s="2" t="inlineStr">
        <is>
          <t>In Progress</t>
        </is>
      </c>
      <c r="H22" s="4" t="n">
        <v>46287</v>
      </c>
      <c r="I22" s="4" t="n">
        <v>46295</v>
      </c>
      <c r="J22" s="5" t="n">
        <v>0.9</v>
      </c>
      <c r="K22" s="4" t="n">
        <v>46295</v>
      </c>
      <c r="L22" s="3" t="inlineStr"/>
      <c r="M22" s="6">
        <f>IF(G22="Completed","",I22-TODAY())</f>
        <v/>
      </c>
      <c r="N22" s="7">
        <f>IF(G22="Completed","Done",IF(I22&lt;TODAY(),"Red",IF(OR(G22="Blocked",AND(I22-TODAY()&lt;=7,J22&lt;0.5)),"Amber","Green")))</f>
        <v/>
      </c>
    </row>
  </sheetData>
  <autoFilter ref="A1:N22"/>
  <conditionalFormatting sqref="N2:N200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  <cfRule type="cellIs" priority="4" operator="equal" dxfId="3">
      <formula>"Done"</formula>
    </cfRule>
  </conditionalFormatting>
  <dataValidations count="3">
    <dataValidation sqref="E2:E200" showDropDown="0" showInputMessage="0" showErrorMessage="0" allowBlank="1" type="list">
      <formula1>"Business,Operations,Finance,Risk,Compliance,Technology,Infrastructure"</formula1>
    </dataValidation>
    <dataValidation sqref="F2:F200" showDropDown="0" showInputMessage="0" showErrorMessage="0" allowBlank="1" type="list">
      <formula1>"High,Medium,Low"</formula1>
    </dataValidation>
    <dataValidation sqref="G2:G200" showDropDown="0" showInputMessage="0" showErrorMessage="0" allowBlank="1" type="list">
      <formula1>"Not Started,In Progress,Blocked,Completed"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How to use this tracker</t>
        </is>
      </c>
    </row>
    <row r="2">
      <c r="A2" s="9" t="inlineStr"/>
    </row>
    <row r="3">
      <c r="A3" s="9" t="inlineStr">
        <is>
          <t>1. The rows on the Tracker sheet are SAMPLE data. Replace them with your own actions.</t>
        </is>
      </c>
    </row>
    <row r="4">
      <c r="A4" s="9" t="inlineStr">
        <is>
          <t>2. Type only in columns A to L (blue text). Columns M and N are formulas - do not overwrite.</t>
        </is>
      </c>
    </row>
    <row r="5">
      <c r="A5" s="9" t="inlineStr">
        <is>
          <t>3. Status must be one of: Not Started, In Progress, Blocked, Completed (dropdown provided).</t>
        </is>
      </c>
    </row>
    <row r="6">
      <c r="A6" s="9" t="inlineStr">
        <is>
          <t>4. % Complete is entered as a percentage (e.g. 60%). Dates use dd-mmm-yyyy.</t>
        </is>
      </c>
    </row>
    <row r="7">
      <c r="A7" s="9" t="inlineStr">
        <is>
          <t>5. Run:  python report.py --input data/action_tracker.xlsx   to generate the weekly deck and follow-up emails.</t>
        </is>
      </c>
    </row>
    <row r="8">
      <c r="A8" s="9" t="inlineStr"/>
    </row>
    <row r="9">
      <c r="A9" s="8" t="inlineStr">
        <is>
          <t>RAG rules (same logic in Excel and in report.py)</t>
        </is>
      </c>
    </row>
    <row r="10">
      <c r="A10" s="9" t="inlineStr">
        <is>
          <t>Done  : Status = Completed</t>
        </is>
      </c>
    </row>
    <row r="11">
      <c r="A11" s="9" t="inlineStr">
        <is>
          <t>Red   : not completed and Due Date is before today</t>
        </is>
      </c>
    </row>
    <row r="12">
      <c r="A12" s="9" t="inlineStr">
        <is>
          <t>Amber : Status = Blocked, OR due within 7 days with under 50% complete</t>
        </is>
      </c>
    </row>
    <row r="13">
      <c r="A13" s="9" t="inlineStr">
        <is>
          <t>Green : everything 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2026-10-01T15:05:47Z</dcterms:created>
  <dcterms:modified xmlns:dcterms="http://purl.org/dc/terms/" xmlns:xsi="http://www.w3.org/2001/XMLSchema-instance" xsi:type="dcterms:W3CDTF">2026-10-01T15:05:47Z</dcterms:modified>
</cp:coreProperties>
</file>